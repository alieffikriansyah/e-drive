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atrix Pendataan Unit" sheetId="1" state="visible" r:id="rId2"/>
    <sheet name="Matrix Pengerjaan Dashboard" sheetId="2" state="visible" r:id="rId3"/>
    <sheet name="Daftar Permintaan Website OM El" sheetId="3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<sst xmlns="http://schemas.openxmlformats.org/spreadsheetml/2006/main" count="113" uniqueCount="113">
  <si>
    <t>Unit</t>
  </si>
  <si>
    <t>Departemen</t>
  </si>
  <si>
    <t xml:space="preserve">Data Personil</t>
  </si>
  <si>
    <t xml:space="preserve">Data Peralatan &amp; Alat</t>
  </si>
  <si>
    <t xml:space="preserve">Data Rencana</t>
  </si>
  <si>
    <t xml:space="preserve">Data SOP</t>
  </si>
  <si>
    <t xml:space="preserve">Data Realisasi</t>
  </si>
  <si>
    <t>Total</t>
  </si>
  <si>
    <t>NVA</t>
  </si>
  <si>
    <t xml:space="preserve">Visual Aid &amp; Utility</t>
  </si>
  <si>
    <t>SVA</t>
  </si>
  <si>
    <t>EU</t>
  </si>
  <si>
    <t>UPS</t>
  </si>
  <si>
    <t>HVMV</t>
  </si>
  <si>
    <t xml:space="preserve">Energy &amp; Power Supply</t>
  </si>
  <si>
    <t>PS1</t>
  </si>
  <si>
    <t>PS2</t>
  </si>
  <si>
    <t>PS3</t>
  </si>
  <si>
    <t>EN</t>
  </si>
  <si>
    <t>EP</t>
  </si>
  <si>
    <t>T1</t>
  </si>
  <si>
    <t xml:space="preserve">Terminal &amp; Non Terminal</t>
  </si>
  <si>
    <t>T2</t>
  </si>
  <si>
    <t>T3</t>
  </si>
  <si>
    <t>ENFT</t>
  </si>
  <si>
    <t xml:space="preserve">Total Keseluruhan</t>
  </si>
  <si>
    <t xml:space="preserve">CATATAN NILAI </t>
  </si>
  <si>
    <t>SUDAH</t>
  </si>
  <si>
    <t xml:space="preserve">ON PROGRESS</t>
  </si>
  <si>
    <t>BELUM</t>
  </si>
  <si>
    <t xml:space="preserve">Matrix Progres Dahsboard</t>
  </si>
  <si>
    <t>NO</t>
  </si>
  <si>
    <t>Pekerjaan</t>
  </si>
  <si>
    <t xml:space="preserve">Modul / fitur</t>
  </si>
  <si>
    <t xml:space="preserve">Nilai Tampilan (User Interface)</t>
  </si>
  <si>
    <t xml:space="preserve">Nilai Logika (Code)</t>
  </si>
  <si>
    <t xml:space="preserve">Nilai Data (Database System)</t>
  </si>
  <si>
    <t xml:space="preserve">Nilai Total</t>
  </si>
  <si>
    <t>Catatan</t>
  </si>
  <si>
    <t>PIC</t>
  </si>
  <si>
    <t xml:space="preserve">Layanan  Hosting</t>
  </si>
  <si>
    <t>-</t>
  </si>
  <si>
    <t xml:space="preserve">kerena sudah berlangganan menggunakan layanan dari rumah web</t>
  </si>
  <si>
    <t xml:space="preserve">OFFICE MPS, Alief</t>
  </si>
  <si>
    <t xml:space="preserve">Layanan Domain</t>
  </si>
  <si>
    <t xml:space="preserve">Master Data ( Dashboard)</t>
  </si>
  <si>
    <t xml:space="preserve">Menu Sistem</t>
  </si>
  <si>
    <t>Alief</t>
  </si>
  <si>
    <t xml:space="preserve">Role Pengguna</t>
  </si>
  <si>
    <t>Pengguna</t>
  </si>
  <si>
    <t>Lokasi</t>
  </si>
  <si>
    <t xml:space="preserve">Jenis Masalah</t>
  </si>
  <si>
    <t xml:space="preserve">Jadwal Dinas</t>
  </si>
  <si>
    <t xml:space="preserve">Untuk NIK 11111111, 0000 , jika di inputlkan seperti itu jadwal nya belum muncul untuk Personil itu</t>
  </si>
  <si>
    <t xml:space="preserve">SK, Alief</t>
  </si>
  <si>
    <t xml:space="preserve">Perawatan (Dashboard)</t>
  </si>
  <si>
    <t xml:space="preserve">Pekerjaan Perawatan</t>
  </si>
  <si>
    <t xml:space="preserve">WO (Arahan Kerja)</t>
  </si>
  <si>
    <t>Perawatan</t>
  </si>
  <si>
    <t xml:space="preserve">WO (Job Report)</t>
  </si>
  <si>
    <t xml:space="preserve">(Done) Ada penambahan di print out  dan di modul wokhsusus di energy &amp; Power Supply, Karena perawatan 6b &amp; T bisa Per alat , di modul perawatan done kurang di job report</t>
  </si>
  <si>
    <t xml:space="preserve">Operasional (Dashboard)</t>
  </si>
  <si>
    <t xml:space="preserve">List Operasional</t>
  </si>
  <si>
    <t>Operasional</t>
  </si>
  <si>
    <t xml:space="preserve">Perbaikan (Dashboard)</t>
  </si>
  <si>
    <t xml:space="preserve">Daftar Persetujuan Perbaikan</t>
  </si>
  <si>
    <t>Temuan</t>
  </si>
  <si>
    <t xml:space="preserve">Tindak Lanjut</t>
  </si>
  <si>
    <t>Done</t>
  </si>
  <si>
    <t xml:space="preserve">Aset (Dashbaord)</t>
  </si>
  <si>
    <t>Peralatan</t>
  </si>
  <si>
    <t>Alat</t>
  </si>
  <si>
    <t xml:space="preserve">Kategori Peralatan</t>
  </si>
  <si>
    <t xml:space="preserve">Jenis Alat</t>
  </si>
  <si>
    <t xml:space="preserve">Dashboard Manager (Dashboard)</t>
  </si>
  <si>
    <t xml:space="preserve">Dashboard Manager</t>
  </si>
  <si>
    <t xml:space="preserve">Print Out Laporan WO</t>
  </si>
  <si>
    <t xml:space="preserve">Revisi Minor mengenai tampilan </t>
  </si>
  <si>
    <t xml:space="preserve">SK, Alief , Wage</t>
  </si>
  <si>
    <t xml:space="preserve">Print Out Laporan Operasional</t>
  </si>
  <si>
    <t xml:space="preserve">Print Out Laporan Perbaikan</t>
  </si>
  <si>
    <t xml:space="preserve">poin ini merujuk ke nomor 21 jadi perlu di logika ulang </t>
  </si>
  <si>
    <t xml:space="preserve">Performa Perlatan</t>
  </si>
  <si>
    <t xml:space="preserve">Performa Alat</t>
  </si>
  <si>
    <t xml:space="preserve">Pendataan Unit</t>
  </si>
  <si>
    <t xml:space="preserve">Koordinator , Pic unit, SK</t>
  </si>
  <si>
    <t xml:space="preserve">Distribusi Akun</t>
  </si>
  <si>
    <t xml:space="preserve">NVA, SVA,EU,UPS,HVMV,PS1,PS2,PS3,EN,EP,T2</t>
  </si>
  <si>
    <t xml:space="preserve">Total Sudah</t>
  </si>
  <si>
    <t xml:space="preserve">Total Belum</t>
  </si>
  <si>
    <t xml:space="preserve">REVISI MINOR / MENDEKETI SUDAH</t>
  </si>
  <si>
    <t xml:space="preserve">Tahap rancangan / sketsa</t>
  </si>
  <si>
    <t xml:space="preserve">Daftar Permintaan Pada Website OM Electrical CGK (Digital Report) </t>
  </si>
  <si>
    <t>No</t>
  </si>
  <si>
    <t>Tanggal</t>
  </si>
  <si>
    <t xml:space="preserve">Permintaan </t>
  </si>
  <si>
    <t>Kondisi</t>
  </si>
  <si>
    <t>Status</t>
  </si>
  <si>
    <t xml:space="preserve">Buat Modul untuk Operasional [Visual Aid &amp;Utility]</t>
  </si>
  <si>
    <t>sudah</t>
  </si>
  <si>
    <t>open</t>
  </si>
  <si>
    <t xml:space="preserve">Buat Lampiran Pengukuran Bisa banyak , Di Modul Perawatan (Kendala Ketika dia bukan Format Gambar dia Crash ) [Visual Aid &amp;Utility]</t>
  </si>
  <si>
    <t xml:space="preserve">Buat Gambar unhtuk Global jadi data yang di input bisa glondongan, Di Modul Perawatan (Sudah) [Visual Aid &amp;Utility]</t>
  </si>
  <si>
    <t xml:space="preserve">Buat Kolom Untuk Nama ATC dengan type data String, Di modul ListWO  [Visual Aid &amp;Utility]</t>
  </si>
  <si>
    <t xml:space="preserve">Buat 2 Tombol ketika Print WO , 1 untuk IASS , 1 nya lagi untuk API, di modul ListWO (Karena 1 print out harus 1 logo perusahaan) [Visual Aid &amp;Utility]</t>
  </si>
  <si>
    <t xml:space="preserve">Ketika perawatan bisa untuk 6B &amp; T bisa pilih alat (modul perawatan) [Energy &amp; Power Supply]</t>
  </si>
  <si>
    <t xml:space="preserve">Adanya fitur detail untuk melihat datanya (Modul Perawatan) [Energy &amp; Power Supply]</t>
  </si>
  <si>
    <t xml:space="preserve">Dari POIN diatas bisa ditarik datanya di wo JobReport (modul Wo) [Energy &amp; Power Supply]</t>
  </si>
  <si>
    <t xml:space="preserve">PRINT OUT mengikuti ke 3 poin diatas (modul Wo) [Energy &amp; Power Supply]</t>
  </si>
  <si>
    <t xml:space="preserve">Tanda tangan minta 4 kolom (Modul WO) [Energy &amp; Power Supply]</t>
  </si>
  <si>
    <t>belum</t>
  </si>
  <si>
    <t xml:space="preserve">Inputan Team minta di hilangkan (modul WO) [Energy &amp; Power Supply]</t>
  </si>
  <si>
    <t xml:space="preserve">di modul operasional bisa muncul per tanggal itu / bisa di filter pertanggal yang diinginkan [Energy &amp; Power Supply]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</si>
</sst>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4">
    <font>
      <sz val="11.000000"/>
      <color theme="1"/>
      <name val="Aptos Narrow"/>
      <scheme val="minor"/>
    </font>
    <font>
      <b/>
      <sz val="11.000000"/>
      <color theme="1"/>
      <name val="Aptos Narrow"/>
    </font>
    <font>
      <b/>
      <sz val="11.000000"/>
      <color theme="1"/>
      <name val="Arial"/>
    </font>
    <font>
      <sz val="17.000000"/>
      <color theme="1"/>
      <name val="Aptos Narrow"/>
    </font>
    <font>
      <sz val="17.000000"/>
      <color theme="1"/>
      <name val="Arial"/>
    </font>
    <font/>
    <font>
      <sz val="13.000000"/>
      <color theme="1"/>
      <name val="Aptos Narrow"/>
      <scheme val="minor"/>
    </font>
    <font>
      <b/>
      <sz val="20.000000"/>
      <color theme="1"/>
      <name val="Aptos Narrow"/>
    </font>
    <font>
      <b/>
      <sz val="12.000000"/>
      <color theme="1"/>
      <name val="Aptos Narrow"/>
    </font>
    <font>
      <sz val="11.000000"/>
      <color theme="1"/>
      <name val="Aptos Narrow"/>
    </font>
    <font>
      <sz val="11.000000"/>
      <color theme="1"/>
      <name val="Arial"/>
    </font>
    <font>
      <b/>
      <sz val="20.000000"/>
      <color theme="1"/>
      <name val="Calibri"/>
    </font>
    <font>
      <sz val="11.000000"/>
      <color theme="1"/>
      <name val="Calibri"/>
    </font>
    <font>
      <u/>
      <sz val="11.000000"/>
      <color indexed="4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95DCF7"/>
        <bgColor rgb="FF95DCF7"/>
      </patternFill>
    </fill>
    <fill>
      <patternFill patternType="solid">
        <fgColor rgb="FF84E291"/>
        <bgColor rgb="FF84E291"/>
      </patternFill>
    </fill>
    <fill>
      <patternFill patternType="solid">
        <fgColor indexed="5"/>
        <bgColor indexed="5"/>
      </patternFill>
    </fill>
    <fill>
      <patternFill patternType="solid">
        <fgColor theme="5"/>
        <bgColor theme="5"/>
      </patternFill>
    </fill>
    <fill>
      <patternFill patternType="solid">
        <fgColor rgb="FFE49EDD"/>
        <bgColor rgb="FFE49EDD"/>
      </patternFill>
    </fill>
    <fill>
      <patternFill patternType="solid">
        <fgColor rgb="FFF2F2F2"/>
        <bgColor rgb="FFF2F2F2"/>
      </patternFill>
    </fill>
    <fill>
      <patternFill patternType="solid">
        <fgColor theme="9"/>
        <bgColor theme="9"/>
      </patternFill>
    </fill>
    <fill>
      <patternFill patternType="solid">
        <fgColor indexed="2"/>
        <bgColor indexed="2"/>
      </patternFill>
    </fill>
    <fill>
      <patternFill patternType="solid">
        <fgColor theme="7"/>
        <bgColor theme="7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none"/>
      <top style="thin">
        <color indexed="64"/>
      </top>
      <bottom style="none"/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none"/>
      <diagonal style="none"/>
    </border>
    <border>
      <left style="none"/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none"/>
      <top style="none"/>
      <bottom style="thin">
        <color indexed="64"/>
      </bottom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80">
    <xf fontId="0" fillId="0" borderId="0" numFmtId="0" xfId="0" applyAlignment="1">
      <alignment readingOrder="0"/>
    </xf>
    <xf fontId="1" fillId="0" borderId="1" numFmtId="0" xfId="0" applyFont="1" applyBorder="1" applyAlignment="1">
      <alignment horizontal="center"/>
    </xf>
    <xf fontId="1" fillId="2" borderId="1" numFmtId="0" xfId="0" applyFont="1" applyFill="1" applyBorder="1" applyAlignment="1">
      <alignment horizontal="center"/>
    </xf>
    <xf fontId="1" fillId="3" borderId="1" numFmtId="0" xfId="0" applyFont="1" applyFill="1" applyBorder="1" applyAlignment="1">
      <alignment horizontal="center"/>
    </xf>
    <xf fontId="1" fillId="4" borderId="1" numFmtId="0" xfId="0" applyFont="1" applyFill="1" applyBorder="1" applyAlignment="1">
      <alignment horizontal="center"/>
    </xf>
    <xf fontId="1" fillId="5" borderId="1" numFmtId="0" xfId="0" applyFont="1" applyFill="1" applyBorder="1" applyAlignment="1">
      <alignment horizontal="center"/>
    </xf>
    <xf fontId="1" fillId="6" borderId="2" numFmtId="0" xfId="0" applyFont="1" applyFill="1" applyBorder="1" applyAlignment="1">
      <alignment horizontal="center"/>
    </xf>
    <xf fontId="2" fillId="0" borderId="1" numFmtId="0" xfId="0" applyFont="1" applyBorder="1" applyAlignment="1">
      <alignment horizontal="center" readingOrder="0"/>
    </xf>
    <xf fontId="3" fillId="0" borderId="1" numFmtId="0" xfId="0" applyFont="1" applyBorder="1" applyAlignment="1">
      <alignment horizontal="center"/>
    </xf>
    <xf fontId="3" fillId="2" borderId="1" numFmtId="1" xfId="0" applyNumberFormat="1" applyFont="1" applyFill="1" applyBorder="1"/>
    <xf fontId="3" fillId="3" borderId="1" numFmtId="1" xfId="0" applyNumberFormat="1" applyFont="1" applyFill="1" applyBorder="1"/>
    <xf fontId="3" fillId="4" borderId="1" numFmtId="1" xfId="0" applyNumberFormat="1" applyFont="1" applyFill="1" applyBorder="1"/>
    <xf fontId="3" fillId="5" borderId="1" numFmtId="1" xfId="0" applyNumberFormat="1" applyFont="1" applyFill="1" applyBorder="1"/>
    <xf fontId="3" fillId="6" borderId="2" numFmtId="1" xfId="0" applyNumberFormat="1" applyFont="1" applyFill="1" applyBorder="1"/>
    <xf fontId="3" fillId="0" borderId="1" numFmtId="2" xfId="0" applyNumberFormat="1" applyFont="1" applyBorder="1"/>
    <xf fontId="4" fillId="5" borderId="1" numFmtId="1" xfId="0" applyNumberFormat="1" applyFont="1" applyFill="1" applyBorder="1" applyAlignment="1">
      <alignment readingOrder="0"/>
    </xf>
    <xf fontId="4" fillId="3" borderId="1" numFmtId="1" xfId="0" applyNumberFormat="1" applyFont="1" applyFill="1" applyBorder="1" applyAlignment="1">
      <alignment readingOrder="0"/>
    </xf>
    <xf fontId="4" fillId="2" borderId="1" numFmtId="1" xfId="0" applyNumberFormat="1" applyFont="1" applyFill="1" applyBorder="1" applyAlignment="1">
      <alignment readingOrder="0"/>
    </xf>
    <xf fontId="4" fillId="3" borderId="1" numFmtId="1" xfId="0" applyNumberFormat="1" applyFont="1" applyFill="1" applyBorder="1"/>
    <xf fontId="4" fillId="4" borderId="1" numFmtId="1" xfId="0" applyNumberFormat="1" applyFont="1" applyFill="1" applyBorder="1" applyAlignment="1">
      <alignment readingOrder="0"/>
    </xf>
    <xf fontId="3" fillId="0" borderId="3" numFmtId="0" xfId="0" applyFont="1" applyBorder="1" applyAlignment="1">
      <alignment horizontal="center"/>
    </xf>
    <xf fontId="4" fillId="2" borderId="3" numFmtId="1" xfId="0" applyNumberFormat="1" applyFont="1" applyFill="1" applyBorder="1" applyAlignment="1">
      <alignment readingOrder="0"/>
    </xf>
    <xf fontId="3" fillId="3" borderId="3" numFmtId="1" xfId="0" applyNumberFormat="1" applyFont="1" applyFill="1" applyBorder="1"/>
    <xf fontId="3" fillId="4" borderId="3" numFmtId="1" xfId="0" applyNumberFormat="1" applyFont="1" applyFill="1" applyBorder="1"/>
    <xf fontId="3" fillId="5" borderId="3" numFmtId="1" xfId="0" applyNumberFormat="1" applyFont="1" applyFill="1" applyBorder="1"/>
    <xf fontId="3" fillId="6" borderId="4" numFmtId="1" xfId="0" applyNumberFormat="1" applyFont="1" applyFill="1" applyBorder="1"/>
    <xf fontId="3" fillId="0" borderId="3" numFmtId="2" xfId="0" applyNumberFormat="1" applyFont="1" applyBorder="1"/>
    <xf fontId="3" fillId="7" borderId="2" numFmtId="0" xfId="0" applyFont="1" applyFill="1" applyBorder="1" applyAlignment="1">
      <alignment horizontal="center"/>
    </xf>
    <xf fontId="5" fillId="0" borderId="5" numFmtId="0" xfId="0" applyFont="1" applyBorder="1"/>
    <xf fontId="5" fillId="0" borderId="6" numFmtId="0" xfId="0" applyFont="1" applyBorder="1"/>
    <xf fontId="3" fillId="7" borderId="1" numFmtId="10" xfId="0" applyNumberFormat="1" applyFont="1" applyFill="1" applyBorder="1"/>
    <xf fontId="6" fillId="0" borderId="0" numFmtId="0" xfId="0" applyFont="1"/>
    <xf fontId="3" fillId="0" borderId="2" numFmtId="0" xfId="0" applyFont="1" applyBorder="1" applyAlignment="1">
      <alignment horizontal="center"/>
    </xf>
    <xf fontId="3" fillId="8" borderId="1" numFmtId="0" xfId="0" applyFont="1" applyFill="1" applyBorder="1"/>
    <xf fontId="3" fillId="4" borderId="1" numFmtId="0" xfId="0" applyFont="1" applyFill="1" applyBorder="1"/>
    <xf fontId="3" fillId="9" borderId="1" numFmtId="0" xfId="0" applyFont="1" applyFill="1" applyBorder="1"/>
    <xf fontId="7" fillId="0" borderId="4" numFmtId="0" xfId="0" applyFont="1" applyBorder="1" applyAlignment="1">
      <alignment horizontal="center"/>
    </xf>
    <xf fontId="5" fillId="0" borderId="7" numFmtId="0" xfId="0" applyFont="1" applyBorder="1"/>
    <xf fontId="5" fillId="0" borderId="8" numFmtId="0" xfId="0" applyFont="1" applyBorder="1"/>
    <xf fontId="5" fillId="0" borderId="9" numFmtId="0" xfId="0" applyFont="1" applyBorder="1"/>
    <xf fontId="5" fillId="0" borderId="10" numFmtId="0" xfId="0" applyFont="1" applyBorder="1"/>
    <xf fontId="5" fillId="0" borderId="11" numFmtId="0" xfId="0" applyFont="1" applyBorder="1"/>
    <xf fontId="8" fillId="0" borderId="1" numFmtId="0" xfId="0" applyFont="1" applyBorder="1" applyAlignment="1">
      <alignment horizontal="center"/>
    </xf>
    <xf fontId="9" fillId="8" borderId="1" numFmtId="0" xfId="0" applyFont="1" applyFill="1" applyBorder="1"/>
    <xf fontId="9" fillId="8" borderId="1" numFmtId="9" xfId="0" applyNumberFormat="1" applyFont="1" applyFill="1" applyBorder="1"/>
    <xf fontId="9" fillId="10" borderId="1" numFmtId="0" xfId="0" applyFont="1" applyFill="1" applyBorder="1"/>
    <xf fontId="9" fillId="10" borderId="1" numFmtId="9" xfId="0" applyNumberFormat="1" applyFont="1" applyFill="1" applyBorder="1"/>
    <xf fontId="10" fillId="8" borderId="1" numFmtId="0" xfId="0" applyFont="1" applyFill="1" applyBorder="1" applyAlignment="1">
      <alignment readingOrder="0"/>
    </xf>
    <xf fontId="10" fillId="10" borderId="1" numFmtId="0" xfId="0" applyFont="1" applyFill="1" applyBorder="1" applyAlignment="1">
      <alignment readingOrder="0"/>
    </xf>
    <xf fontId="9" fillId="7" borderId="1" numFmtId="0" xfId="0" applyFont="1" applyFill="1" applyBorder="1"/>
    <xf fontId="9" fillId="7" borderId="2" numFmtId="0" xfId="0" applyFont="1" applyFill="1" applyBorder="1" applyAlignment="1">
      <alignment horizontal="center"/>
    </xf>
    <xf fontId="9" fillId="7" borderId="1" numFmtId="10" xfId="0" applyNumberFormat="1" applyFont="1" applyFill="1" applyBorder="1"/>
    <xf fontId="10" fillId="7" borderId="2" numFmtId="0" xfId="0" applyFont="1" applyFill="1" applyBorder="1" applyAlignment="1">
      <alignment horizontal="center" readingOrder="0"/>
    </xf>
    <xf fontId="10" fillId="7" borderId="1" numFmtId="0" xfId="0" applyFont="1" applyFill="1" applyBorder="1" applyAlignment="1">
      <alignment readingOrder="0"/>
    </xf>
    <xf fontId="9" fillId="0" borderId="2" numFmtId="0" xfId="0" applyFont="1" applyBorder="1" applyAlignment="1">
      <alignment horizontal="center"/>
    </xf>
    <xf fontId="9" fillId="0" borderId="1" numFmtId="10" xfId="0" applyNumberFormat="1" applyFont="1" applyBorder="1"/>
    <xf fontId="9" fillId="0" borderId="1" numFmtId="0" xfId="0" applyFont="1" applyBorder="1"/>
    <xf fontId="9" fillId="4" borderId="3" numFmtId="0" xfId="0" applyFont="1" applyFill="1" applyBorder="1"/>
    <xf fontId="9" fillId="6" borderId="1" numFmtId="0" xfId="0" applyFont="1" applyFill="1" applyBorder="1"/>
    <xf fontId="9" fillId="9" borderId="12" numFmtId="0" xfId="0" applyFont="1" applyFill="1" applyBorder="1"/>
    <xf fontId="11" fillId="0" borderId="0" numFmtId="0" xfId="0" applyFont="1" applyAlignment="1">
      <alignment horizontal="center"/>
    </xf>
    <xf fontId="1" fillId="0" borderId="0" numFmtId="0" xfId="0" applyFont="1" applyAlignment="1">
      <alignment horizontal="center"/>
    </xf>
    <xf fontId="9" fillId="0" borderId="0" numFmtId="2" xfId="0" applyNumberFormat="1" applyFont="1"/>
    <xf fontId="12" fillId="11" borderId="1" numFmtId="0" xfId="0" applyFont="1" applyFill="1" applyBorder="1" applyAlignment="1">
      <alignment horizontal="center"/>
    </xf>
    <xf fontId="12" fillId="0" borderId="1" numFmtId="0" xfId="0" applyFont="1" applyBorder="1"/>
    <xf fontId="12" fillId="0" borderId="1" numFmtId="14" xfId="0" applyNumberFormat="1" applyFont="1" applyBorder="1"/>
    <xf fontId="12" fillId="12" borderId="1" numFmtId="0" xfId="0" applyFont="1" applyFill="1" applyBorder="1"/>
    <xf fontId="12" fillId="0" borderId="3" numFmtId="0" xfId="0" applyFont="1" applyBorder="1"/>
    <xf fontId="12" fillId="0" borderId="4" numFmtId="14" xfId="0" applyNumberFormat="1" applyFont="1" applyBorder="1"/>
    <xf fontId="12" fillId="0" borderId="8" numFmtId="0" xfId="0" applyFont="1" applyBorder="1"/>
    <xf fontId="12" fillId="0" borderId="2" numFmtId="0" xfId="0" applyFont="1" applyBorder="1"/>
    <xf fontId="9" fillId="0" borderId="2" numFmtId="0" xfId="0" applyFont="1" applyBorder="1"/>
    <xf fontId="12" fillId="0" borderId="2" numFmtId="14" xfId="0" applyNumberFormat="1" applyFont="1" applyBorder="1"/>
    <xf fontId="12" fillId="12" borderId="2" numFmtId="0" xfId="0" applyFont="1" applyFill="1" applyBorder="1"/>
    <xf fontId="12" fillId="0" borderId="9" numFmtId="14" xfId="0" applyNumberFormat="1" applyFont="1" applyBorder="1"/>
    <xf fontId="12" fillId="0" borderId="1" numFmtId="0" xfId="0" applyFont="1" applyBorder="1" applyAlignment="1">
      <alignment readingOrder="0"/>
    </xf>
    <xf fontId="10" fillId="0" borderId="2" numFmtId="0" xfId="0" applyFont="1" applyBorder="1"/>
    <xf fontId="9" fillId="0" borderId="1" numFmtId="14" xfId="0" applyNumberFormat="1" applyFont="1" applyBorder="1"/>
    <xf fontId="12" fillId="0" borderId="12" numFmtId="0" xfId="0" applyFont="1" applyBorder="1"/>
    <xf fontId="13" fillId="0" borderId="1" numFmt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0" i="0">
                <a:solidFill>
                  <a:schemeClr val="dk1"/>
                </a:solidFill>
                <a:latin typeface="+mn-lt"/>
              </a:defRPr>
            </a:pPr>
            <a:r>
              <a:rPr sz="1600" b="0" i="0">
                <a:solidFill>
                  <a:schemeClr val="dk1"/>
                </a:solidFill>
                <a:latin typeface="+mn-lt"/>
              </a:rPr>
              <a:t>Diagram Progress</a:t>
            </a:r>
            <a:br>
              <a:rPr sz="1600" b="0" i="0">
                <a:solidFill>
                  <a:schemeClr val="dk1"/>
                </a:solidFill>
                <a:latin typeface="+mn-lt"/>
              </a:rPr>
            </a:br>
            <a:endParaRPr/>
          </a:p>
        </c:rich>
      </c:tx>
      <c:layout/>
      <c:overlay val="0"/>
    </c:title>
    <c:plotArea>
      <c:layout>
        <c:manualLayout>
          <c:xMode val="edge"/>
          <c:yMode val="edge"/>
          <c:x val="0.053443"/>
          <c:y val="0.097215"/>
          <c:w val="0.930098"/>
          <c:h val="0.850042"/>
        </c:manualLayout>
      </c:layout>
      <c:barChart>
        <c:barDir val="bar"/>
        <c:grouping val="stacked"/>
        <c:varyColors val="0"/>
        <c:ser>
          <c:idx val="0"/>
          <c:order val="0"/>
          <c:tx>
            <c:v>Data Personil</c:v>
          </c:tx>
          <c:spPr bwMode="auto">
            <a:prstGeom prst="rect">
              <a:avLst/>
            </a:prstGeom>
            <a:solidFill>
              <a:srgbClr val="0F9ED5"/>
            </a:solidFill>
            <a:ln cmpd="sng">
              <a:noFill/>
            </a:ln>
          </c:spPr>
          <c:cat>
            <c:strRef>
              <c:f>'Matrix Pendataan Unit'!$A$2:$A$15</c:f>
            </c:strRef>
          </c:cat>
          <c:val>
            <c:numRef>
              <c:f>'Matrix Pendataan Unit'!$C$2:$C$15</c:f>
              <c:numCache>
                <c:formatCode>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50</c:v>
                </c:pt>
                <c:pt idx="6">
                  <c:v>50</c:v>
                </c:pt>
                <c:pt idx="7">
                  <c:v>100</c:v>
                </c:pt>
                <c:pt idx="8">
                  <c:v>100</c:v>
                </c:pt>
                <c:pt idx="9">
                  <c:v>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</c:numCache>
            </c:numRef>
          </c:val>
        </c:ser>
        <c:ser>
          <c:idx val="1"/>
          <c:order val="1"/>
          <c:tx>
            <c:v>Data Peralatan &amp; Alat</c:v>
          </c:tx>
          <c:spPr bwMode="auto">
            <a:prstGeom prst="rect">
              <a:avLst/>
            </a:prstGeom>
            <a:solidFill>
              <a:srgbClr val="196B24"/>
            </a:solidFill>
            <a:ln cmpd="sng">
              <a:noFill/>
            </a:ln>
          </c:spPr>
          <c:cat>
            <c:strRef>
              <c:f>'Matrix Pendataan Unit'!$A$2:$A$15</c:f>
            </c:strRef>
          </c:cat>
          <c:val>
            <c:numRef>
              <c:f>'Matrix Pendataan Unit'!$D$2:$D$15</c:f>
              <c:numCache/>
            </c:numRef>
          </c:val>
        </c:ser>
        <c:ser>
          <c:idx val="2"/>
          <c:order val="2"/>
          <c:tx>
            <c:v>Data Rencana</c:v>
          </c:tx>
          <c:spPr bwMode="auto">
            <a:prstGeom prst="rect">
              <a:avLst/>
            </a:prstGeom>
            <a:solidFill>
              <a:srgbClr val="FFFF00"/>
            </a:solidFill>
            <a:ln cmpd="sng">
              <a:noFill/>
            </a:ln>
          </c:spPr>
          <c:cat>
            <c:strRef>
              <c:f>'Matrix Pendataan Unit'!$A$2:$A$15</c:f>
            </c:strRef>
          </c:cat>
          <c:val>
            <c:numRef>
              <c:f>'Matrix Pendataan Unit'!$E$2:$E$15</c:f>
              <c:numCache/>
            </c:numRef>
          </c:val>
        </c:ser>
        <c:ser>
          <c:idx val="3"/>
          <c:order val="3"/>
          <c:tx>
            <c:v>Data SOP</c:v>
          </c:tx>
          <c:spPr bwMode="auto">
            <a:prstGeom prst="rect">
              <a:avLst/>
            </a:prstGeom>
            <a:solidFill>
              <a:srgbClr val="E97132"/>
            </a:solidFill>
            <a:ln cmpd="sng">
              <a:noFill/>
            </a:ln>
          </c:spPr>
          <c:cat>
            <c:strRef>
              <c:f>'Matrix Pendataan Unit'!$A$2:$A$15</c:f>
            </c:strRef>
          </c:cat>
          <c:val>
            <c:numRef>
              <c:f>'Matrix Pendataan Unit'!$F$2:$F$15</c:f>
              <c:numCache/>
            </c:numRef>
          </c:val>
        </c:ser>
        <c:ser>
          <c:idx val="4"/>
          <c:order val="4"/>
          <c:tx>
            <c:v>Data Realisasi</c:v>
          </c:tx>
          <c:spPr bwMode="auto">
            <a:prstGeom prst="rect">
              <a:avLst/>
            </a:prstGeom>
            <a:solidFill>
              <a:srgbClr val="A02B93"/>
            </a:solidFill>
            <a:ln cmpd="sng">
              <a:noFill/>
            </a:ln>
          </c:spPr>
          <c:cat>
            <c:strRef>
              <c:f>'Matrix Pendataan Unit'!$A$2:$A$15</c:f>
            </c:strRef>
          </c:cat>
          <c:val>
            <c:numRef>
              <c:f>'Matrix Pendataan Unit'!$G$2:$G$15</c:f>
              <c:numCache/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150"/>
        <c:overlap val="100"/>
        <c:axId val="62525939"/>
        <c:axId val="1080528730"/>
      </c:barChart>
      <c:catAx>
        <c:axId val="625259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spPr bwMode="auto">
          <a:prstGeom prst="rect">
            <a:avLst/>
          </a:prstGeom>
          <a:ln>
            <a:noFill/>
          </a:ln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1080528730"/>
        <c:crosses val="autoZero"/>
        <c:noMultiLvlLbl val="0"/>
      </c:catAx>
      <c:valAx>
        <c:axId val="1080528730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>
            <a:noFill/>
          </a:ln>
        </c:spPr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62525939"/>
        <c:crosses val="max"/>
        <c:crossBetween val="between"/>
      </c:valAx>
    </c:plotArea>
    <c:legend>
      <c:legendPos val="t"/>
      <c:layout>
        <c:manualLayout>
          <c:xMode val="edge"/>
          <c:yMode val="edge"/>
          <c:x val="0.134066"/>
          <c:y val="0.071523"/>
        </c:manualLayout>
      </c:layout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/>
        </a:p>
      </c:txPr>
    </c:legend>
    <c:plotVisOnly val="1"/>
    <c:showDLblsOverMax val="0"/>
  </c:chart>
  <c:spPr bwMode="auto">
    <a:xfrm rot="0">
      <a:off x="0" y="0"/>
      <a:ext cx="0" cy="0"/>
    </a:xfrm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KETERANGAN</a:t>
            </a:r>
            <a:endParaRPr/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dPt>
            <c:idx val="0"/>
            <c:spPr bwMode="auto">
              <a:prstGeom prst="rect">
                <a:avLst/>
              </a:prstGeom>
              <a:solidFill>
                <a:srgbClr val="00FF00"/>
              </a:solidFill>
            </c:spPr>
          </c:dPt>
          <c:dPt>
            <c:idx val="1"/>
            <c:spPr bwMode="auto">
              <a:prstGeom prst="rect">
                <a:avLst/>
              </a:prstGeom>
              <a:solidFill>
                <a:srgbClr val="FF0000"/>
              </a:solidFill>
            </c:spPr>
          </c:dPt>
          <c:dLbls>
            <c:showBubbleSize val="0"/>
            <c:showCatName val="1"/>
            <c:showLeaderLines val="1"/>
            <c:showLegendKey val="0"/>
            <c:showPercent val="0"/>
            <c:showSerName val="0"/>
            <c:showVal val="0"/>
          </c:dLbls>
          <c:cat>
            <c:strRef>
              <c:f>'Matrix Pengerjaan Dashboard'!$G$34:$G$35</c:f>
            </c:strRef>
          </c:cat>
          <c:val>
            <c:numRef>
              <c:f>'Matrix Pengerjaan Dashboard'!$G$34:$G$35</c:f>
              <c:numCache/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holeSize val="50"/>
      </c:doughnutChart>
    </c:plotArea>
    <c:legend>
      <c:legendPos val="l"/>
      <c:layout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Arial"/>
            </a:defRPr>
          </a:pPr>
          <a:endParaRPr/>
        </a:p>
      </c:txPr>
    </c:legend>
    <c:plotVisOnly val="1"/>
    <c:showDLblsOverMax val="0"/>
  </c:chart>
  <c:spPr bwMode="auto">
    <a:xfrm rot="0">
      <a:off x="0" y="0"/>
      <a:ext cx="0" cy="0"/>
    </a:xfrm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3</xdr:col>
      <xdr:colOff>619125</xdr:colOff>
      <xdr:row>23</xdr:row>
      <xdr:rowOff>104775</xdr:rowOff>
    </xdr:from>
    <xdr:ext cx="12411075" cy="4581525"/>
    <xdr:graphicFrame>
      <xdr:nvGraphicFramePr>
        <xdr:cNvPr id="678143972" name="Chart 1" title="Diagram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3</xdr:col>
      <xdr:colOff>1009650</xdr:colOff>
      <xdr:row>36</xdr:row>
      <xdr:rowOff>114300</xdr:rowOff>
    </xdr:from>
    <xdr:ext cx="5715000" cy="3533774"/>
    <xdr:graphicFrame>
      <xdr:nvGraphicFramePr>
        <xdr:cNvPr id="1753343114" name="Chart 2" title="Diagram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8.6300000000000008"/>
    <col customWidth="1" min="2" max="2" width="31"/>
    <col customWidth="1" min="3" max="4" width="20.879999999999999"/>
    <col customWidth="1" min="5" max="5" width="13.380000000000001"/>
    <col customWidth="1" min="6" max="6" width="10"/>
    <col customWidth="1" min="7" max="7" width="14.75"/>
    <col customWidth="1" min="8" max="8" width="20.379999999999999"/>
    <col customWidth="1" min="9" max="26" width="8.6300000000000008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</row>
    <row r="2" ht="24" customHeight="1">
      <c r="A2" s="8" t="s">
        <v>8</v>
      </c>
      <c r="B2" s="8" t="s">
        <v>9</v>
      </c>
      <c r="C2" s="9">
        <v>100</v>
      </c>
      <c r="D2" s="10">
        <v>100</v>
      </c>
      <c r="E2" s="11">
        <v>100</v>
      </c>
      <c r="F2" s="12">
        <v>100</v>
      </c>
      <c r="G2" s="13">
        <v>100</v>
      </c>
      <c r="H2" s="14">
        <f t="shared" ref="H2:H15" si="0">AVERAGE(C2:G2)</f>
        <v>100</v>
      </c>
    </row>
    <row r="3" ht="20.25" customHeight="1">
      <c r="A3" s="8" t="s">
        <v>10</v>
      </c>
      <c r="B3" s="8" t="s">
        <v>9</v>
      </c>
      <c r="C3" s="9">
        <v>100</v>
      </c>
      <c r="D3" s="10">
        <v>100</v>
      </c>
      <c r="E3" s="11">
        <v>100</v>
      </c>
      <c r="F3" s="12">
        <v>100</v>
      </c>
      <c r="G3" s="13">
        <v>100</v>
      </c>
      <c r="H3" s="14">
        <f t="shared" si="0"/>
        <v>100</v>
      </c>
    </row>
    <row r="4" ht="21" customHeight="1">
      <c r="A4" s="8" t="s">
        <v>11</v>
      </c>
      <c r="B4" s="8" t="s">
        <v>9</v>
      </c>
      <c r="C4" s="9">
        <v>100</v>
      </c>
      <c r="D4" s="10">
        <v>100</v>
      </c>
      <c r="E4" s="11">
        <v>100</v>
      </c>
      <c r="F4" s="15">
        <v>100</v>
      </c>
      <c r="G4" s="13">
        <v>100</v>
      </c>
      <c r="H4" s="14">
        <f t="shared" si="0"/>
        <v>100</v>
      </c>
    </row>
    <row r="5" ht="19.5" customHeight="1">
      <c r="A5" s="8" t="s">
        <v>12</v>
      </c>
      <c r="B5" s="8" t="s">
        <v>9</v>
      </c>
      <c r="C5" s="9">
        <v>100</v>
      </c>
      <c r="D5" s="16">
        <v>50</v>
      </c>
      <c r="E5" s="11">
        <v>0</v>
      </c>
      <c r="F5" s="12">
        <v>0</v>
      </c>
      <c r="G5" s="13">
        <v>0</v>
      </c>
      <c r="H5" s="14">
        <f t="shared" si="0"/>
        <v>30</v>
      </c>
    </row>
    <row r="6" ht="21" customHeight="1">
      <c r="A6" s="8" t="s">
        <v>13</v>
      </c>
      <c r="B6" s="8" t="s">
        <v>14</v>
      </c>
      <c r="C6" s="17">
        <v>100</v>
      </c>
      <c r="D6" s="10">
        <v>100</v>
      </c>
      <c r="E6" s="11">
        <v>100</v>
      </c>
      <c r="F6" s="12">
        <v>100</v>
      </c>
      <c r="G6" s="13">
        <v>0</v>
      </c>
      <c r="H6" s="14">
        <f t="shared" si="0"/>
        <v>80</v>
      </c>
    </row>
    <row r="7" ht="20.25" customHeight="1">
      <c r="A7" s="8" t="s">
        <v>15</v>
      </c>
      <c r="B7" s="8" t="s">
        <v>14</v>
      </c>
      <c r="C7" s="17">
        <v>50</v>
      </c>
      <c r="D7" s="18">
        <v>100</v>
      </c>
      <c r="E7" s="19">
        <v>50</v>
      </c>
      <c r="F7" s="12">
        <v>0</v>
      </c>
      <c r="G7" s="13">
        <v>0</v>
      </c>
      <c r="H7" s="14">
        <f t="shared" si="0"/>
        <v>40</v>
      </c>
    </row>
    <row r="8" ht="22.5" customHeight="1">
      <c r="A8" s="8" t="s">
        <v>16</v>
      </c>
      <c r="B8" s="8" t="s">
        <v>14</v>
      </c>
      <c r="C8" s="17">
        <v>50</v>
      </c>
      <c r="D8" s="16">
        <v>100</v>
      </c>
      <c r="E8" s="19">
        <v>50</v>
      </c>
      <c r="F8" s="12">
        <v>0</v>
      </c>
      <c r="G8" s="13">
        <v>0</v>
      </c>
      <c r="H8" s="14">
        <f t="shared" si="0"/>
        <v>40</v>
      </c>
    </row>
    <row r="9" ht="19.5" customHeight="1">
      <c r="A9" s="8" t="s">
        <v>17</v>
      </c>
      <c r="B9" s="8" t="s">
        <v>14</v>
      </c>
      <c r="C9" s="17">
        <v>100</v>
      </c>
      <c r="D9" s="16">
        <v>100</v>
      </c>
      <c r="E9" s="19">
        <v>50</v>
      </c>
      <c r="F9" s="12">
        <v>0</v>
      </c>
      <c r="G9" s="13">
        <v>0</v>
      </c>
      <c r="H9" s="14">
        <f t="shared" si="0"/>
        <v>50</v>
      </c>
    </row>
    <row r="10" ht="21" customHeight="1">
      <c r="A10" s="8" t="s">
        <v>18</v>
      </c>
      <c r="B10" s="8" t="s">
        <v>14</v>
      </c>
      <c r="C10" s="17">
        <v>100</v>
      </c>
      <c r="D10" s="16">
        <v>100</v>
      </c>
      <c r="E10" s="19">
        <v>50</v>
      </c>
      <c r="F10" s="12">
        <v>0</v>
      </c>
      <c r="G10" s="13">
        <v>0</v>
      </c>
      <c r="H10" s="14">
        <f t="shared" si="0"/>
        <v>50</v>
      </c>
    </row>
    <row r="11" ht="21" customHeight="1">
      <c r="A11" s="8" t="s">
        <v>19</v>
      </c>
      <c r="B11" s="8" t="s">
        <v>14</v>
      </c>
      <c r="C11" s="9">
        <v>0</v>
      </c>
      <c r="D11" s="16">
        <v>50</v>
      </c>
      <c r="E11" s="11">
        <v>0</v>
      </c>
      <c r="F11" s="12">
        <v>0</v>
      </c>
      <c r="G11" s="13">
        <v>0</v>
      </c>
      <c r="H11" s="14">
        <f t="shared" si="0"/>
        <v>10</v>
      </c>
    </row>
    <row r="12" ht="19.5" customHeight="1">
      <c r="A12" s="8" t="s">
        <v>20</v>
      </c>
      <c r="B12" s="8" t="s">
        <v>21</v>
      </c>
      <c r="C12" s="9">
        <v>50</v>
      </c>
      <c r="D12" s="16">
        <v>50</v>
      </c>
      <c r="E12" s="11">
        <v>0</v>
      </c>
      <c r="F12" s="12">
        <v>0</v>
      </c>
      <c r="G12" s="13">
        <v>0</v>
      </c>
      <c r="H12" s="14">
        <f t="shared" si="0"/>
        <v>20</v>
      </c>
    </row>
    <row r="13" ht="18.75" customHeight="1">
      <c r="A13" s="8" t="s">
        <v>22</v>
      </c>
      <c r="B13" s="8" t="s">
        <v>21</v>
      </c>
      <c r="C13" s="9">
        <v>0</v>
      </c>
      <c r="D13" s="16">
        <v>50</v>
      </c>
      <c r="E13" s="11">
        <v>0</v>
      </c>
      <c r="F13" s="12">
        <v>0</v>
      </c>
      <c r="G13" s="13">
        <v>0</v>
      </c>
      <c r="H13" s="14">
        <f t="shared" si="0"/>
        <v>10</v>
      </c>
    </row>
    <row r="14" ht="18.75" customHeight="1">
      <c r="A14" s="8" t="s">
        <v>23</v>
      </c>
      <c r="B14" s="8" t="s">
        <v>21</v>
      </c>
      <c r="C14" s="9">
        <v>0</v>
      </c>
      <c r="D14" s="16">
        <v>50</v>
      </c>
      <c r="E14" s="11">
        <v>0</v>
      </c>
      <c r="F14" s="12">
        <v>0</v>
      </c>
      <c r="G14" s="13">
        <v>0</v>
      </c>
      <c r="H14" s="14">
        <f t="shared" si="0"/>
        <v>10</v>
      </c>
    </row>
    <row r="15" ht="18" customHeight="1">
      <c r="A15" s="20" t="s">
        <v>24</v>
      </c>
      <c r="B15" s="20" t="s">
        <v>21</v>
      </c>
      <c r="C15" s="21">
        <v>100</v>
      </c>
      <c r="D15" s="22">
        <v>50</v>
      </c>
      <c r="E15" s="23">
        <v>0</v>
      </c>
      <c r="F15" s="24">
        <v>0</v>
      </c>
      <c r="G15" s="25">
        <v>0</v>
      </c>
      <c r="H15" s="26">
        <f t="shared" si="0"/>
        <v>30</v>
      </c>
    </row>
    <row r="16" ht="23.25" customHeight="1">
      <c r="A16" s="27" t="s">
        <v>25</v>
      </c>
      <c r="B16" s="28"/>
      <c r="C16" s="28"/>
      <c r="D16" s="28"/>
      <c r="E16" s="28"/>
      <c r="F16" s="28"/>
      <c r="G16" s="29"/>
      <c r="H16" s="30">
        <f>AVERAGE(H2:H15)/100</f>
        <v>0.47857142857142854</v>
      </c>
    </row>
    <row r="17" ht="14.25" customHeight="1"/>
    <row r="18" ht="17.25" customHeight="1"/>
    <row r="19" ht="21.75" customHeight="1"/>
    <row r="20" ht="21" customHeight="1"/>
    <row r="21" ht="23.25" customHeight="1">
      <c r="G21" s="31"/>
    </row>
    <row r="22" ht="14.25" customHeight="1"/>
    <row r="23" ht="14.25" customHeight="1"/>
    <row r="24" ht="14.25" customHeight="1"/>
    <row r="25" ht="14.25" customHeight="1">
      <c r="A25" s="32" t="s">
        <v>26</v>
      </c>
      <c r="B25" s="29"/>
    </row>
    <row r="26" ht="14.25" customHeight="1">
      <c r="A26" s="33">
        <v>100</v>
      </c>
      <c r="B26" s="33" t="s">
        <v>27</v>
      </c>
    </row>
    <row r="27" ht="14.25" customHeight="1">
      <c r="A27" s="34">
        <v>50</v>
      </c>
      <c r="B27" s="34" t="s">
        <v>28</v>
      </c>
    </row>
    <row r="28" ht="14.25" customHeight="1">
      <c r="A28" s="35">
        <v>0</v>
      </c>
      <c r="B28" s="35" t="s">
        <v>29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6:G16"/>
    <mergeCell ref="A25:B25"/>
  </mergeCells>
  <printOptions headings="0" gridLines="0"/>
  <pageMargins left="0.69999999999999996" right="0.69999999999999996" top="0.75" bottom="0.75" header="0" footer="0"/>
  <pageSetup paperSize="9" scale="100" fitToWidth="0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4.1299999999999999"/>
    <col customWidth="1" min="2" max="2" width="30.75"/>
    <col customWidth="1" min="3" max="3" width="38.130000000000003"/>
    <col customWidth="1" min="4" max="4" width="31.75"/>
    <col customWidth="1" min="5" max="5" width="25.629999999999999"/>
    <col customWidth="1" min="6" max="6" width="34.5"/>
    <col customWidth="1" min="7" max="7" width="14.130000000000001"/>
    <col customWidth="1" min="8" max="8" width="61.5"/>
    <col customWidth="1" min="9" max="9" width="22.5"/>
    <col customWidth="1" min="10" max="10" width="26.129999999999999"/>
    <col customWidth="1" min="11" max="11" width="7.3799999999999999"/>
    <col customWidth="1" min="12" max="12" width="30.129999999999999"/>
    <col customWidth="1" min="13" max="26" width="8.6300000000000008"/>
  </cols>
  <sheetData>
    <row r="1" ht="14.25" customHeight="1">
      <c r="A1" s="36" t="s">
        <v>30</v>
      </c>
      <c r="B1" s="37"/>
      <c r="C1" s="37"/>
      <c r="D1" s="37"/>
      <c r="E1" s="37"/>
      <c r="F1" s="37"/>
      <c r="G1" s="37"/>
      <c r="H1" s="37"/>
      <c r="I1" s="38"/>
    </row>
    <row r="2" ht="14.25" customHeight="1">
      <c r="A2" s="39"/>
      <c r="B2" s="40"/>
      <c r="C2" s="40"/>
      <c r="D2" s="40"/>
      <c r="E2" s="40"/>
      <c r="F2" s="40"/>
      <c r="G2" s="40"/>
      <c r="H2" s="40"/>
      <c r="I2" s="41"/>
    </row>
    <row r="3" ht="14.25" customHeight="1">
      <c r="A3" s="42" t="s">
        <v>31</v>
      </c>
      <c r="B3" s="42" t="s">
        <v>32</v>
      </c>
      <c r="C3" s="42" t="s">
        <v>33</v>
      </c>
      <c r="D3" s="42" t="s">
        <v>34</v>
      </c>
      <c r="E3" s="42" t="s">
        <v>35</v>
      </c>
      <c r="F3" s="42" t="s">
        <v>36</v>
      </c>
      <c r="G3" s="42" t="s">
        <v>37</v>
      </c>
      <c r="H3" s="42" t="s">
        <v>38</v>
      </c>
      <c r="I3" s="42" t="s">
        <v>39</v>
      </c>
    </row>
    <row r="4" ht="14.25" customHeight="1">
      <c r="A4" s="43">
        <v>1</v>
      </c>
      <c r="B4" s="43" t="s">
        <v>40</v>
      </c>
      <c r="C4" s="43" t="s">
        <v>41</v>
      </c>
      <c r="D4" s="43">
        <v>100</v>
      </c>
      <c r="E4" s="43">
        <v>100</v>
      </c>
      <c r="F4" s="43">
        <v>100</v>
      </c>
      <c r="G4" s="44">
        <f t="shared" ref="G4:G31" si="1">AVERAGE(D4:F4)/100</f>
        <v>1</v>
      </c>
      <c r="H4" s="43" t="s">
        <v>42</v>
      </c>
      <c r="I4" s="43" t="s">
        <v>43</v>
      </c>
    </row>
    <row r="5" ht="14.25" customHeight="1">
      <c r="A5" s="43">
        <v>2</v>
      </c>
      <c r="B5" s="43" t="s">
        <v>44</v>
      </c>
      <c r="C5" s="43" t="s">
        <v>41</v>
      </c>
      <c r="D5" s="43">
        <v>100</v>
      </c>
      <c r="E5" s="43">
        <v>100</v>
      </c>
      <c r="F5" s="43">
        <v>100</v>
      </c>
      <c r="G5" s="44">
        <f t="shared" si="1"/>
        <v>1</v>
      </c>
      <c r="H5" s="43" t="s">
        <v>42</v>
      </c>
      <c r="I5" s="43" t="s">
        <v>43</v>
      </c>
    </row>
    <row r="6" ht="14.25" customHeight="1">
      <c r="A6" s="43">
        <v>3</v>
      </c>
      <c r="B6" s="43" t="s">
        <v>45</v>
      </c>
      <c r="C6" s="43" t="s">
        <v>46</v>
      </c>
      <c r="D6" s="43">
        <v>100</v>
      </c>
      <c r="E6" s="43">
        <v>100</v>
      </c>
      <c r="F6" s="43">
        <v>100</v>
      </c>
      <c r="G6" s="44">
        <f t="shared" si="1"/>
        <v>1</v>
      </c>
      <c r="H6" s="43" t="s">
        <v>41</v>
      </c>
      <c r="I6" s="43" t="s">
        <v>47</v>
      </c>
    </row>
    <row r="7" ht="14.25" customHeight="1">
      <c r="A7" s="43">
        <v>4</v>
      </c>
      <c r="B7" s="43" t="s">
        <v>45</v>
      </c>
      <c r="C7" s="43" t="s">
        <v>48</v>
      </c>
      <c r="D7" s="43">
        <v>100</v>
      </c>
      <c r="E7" s="43">
        <v>100</v>
      </c>
      <c r="F7" s="43">
        <v>100</v>
      </c>
      <c r="G7" s="44">
        <f t="shared" si="1"/>
        <v>1</v>
      </c>
      <c r="H7" s="43" t="s">
        <v>41</v>
      </c>
      <c r="I7" s="43" t="s">
        <v>47</v>
      </c>
    </row>
    <row r="8" ht="14.25" customHeight="1">
      <c r="A8" s="43">
        <v>5</v>
      </c>
      <c r="B8" s="43" t="s">
        <v>45</v>
      </c>
      <c r="C8" s="43" t="s">
        <v>49</v>
      </c>
      <c r="D8" s="43">
        <v>100</v>
      </c>
      <c r="E8" s="43">
        <v>100</v>
      </c>
      <c r="F8" s="43">
        <v>100</v>
      </c>
      <c r="G8" s="44">
        <f t="shared" si="1"/>
        <v>1</v>
      </c>
      <c r="H8" s="43" t="s">
        <v>41</v>
      </c>
      <c r="I8" s="43" t="s">
        <v>47</v>
      </c>
    </row>
    <row r="9" ht="14.25" customHeight="1">
      <c r="A9" s="43">
        <v>6</v>
      </c>
      <c r="B9" s="43" t="s">
        <v>45</v>
      </c>
      <c r="C9" s="43" t="s">
        <v>50</v>
      </c>
      <c r="D9" s="43">
        <v>100</v>
      </c>
      <c r="E9" s="43">
        <v>100</v>
      </c>
      <c r="F9" s="43">
        <v>100</v>
      </c>
      <c r="G9" s="44">
        <f t="shared" si="1"/>
        <v>1</v>
      </c>
      <c r="H9" s="43" t="s">
        <v>41</v>
      </c>
      <c r="I9" s="43" t="s">
        <v>47</v>
      </c>
    </row>
    <row r="10" ht="14.25" customHeight="1">
      <c r="A10" s="43">
        <v>7</v>
      </c>
      <c r="B10" s="43" t="s">
        <v>45</v>
      </c>
      <c r="C10" s="43" t="s">
        <v>51</v>
      </c>
      <c r="D10" s="43">
        <v>100</v>
      </c>
      <c r="E10" s="43">
        <v>100</v>
      </c>
      <c r="F10" s="43">
        <v>100</v>
      </c>
      <c r="G10" s="44">
        <f t="shared" si="1"/>
        <v>1</v>
      </c>
      <c r="H10" s="43" t="s">
        <v>41</v>
      </c>
      <c r="I10" s="43" t="s">
        <v>47</v>
      </c>
    </row>
    <row r="11" ht="14.25" customHeight="1">
      <c r="A11" s="45">
        <v>8</v>
      </c>
      <c r="B11" s="45" t="s">
        <v>45</v>
      </c>
      <c r="C11" s="45" t="s">
        <v>52</v>
      </c>
      <c r="D11" s="45">
        <v>75</v>
      </c>
      <c r="E11" s="45">
        <v>75</v>
      </c>
      <c r="F11" s="45">
        <v>75</v>
      </c>
      <c r="G11" s="46">
        <f t="shared" si="1"/>
        <v>0.75</v>
      </c>
      <c r="H11" s="45" t="s">
        <v>53</v>
      </c>
      <c r="I11" s="45" t="s">
        <v>47</v>
      </c>
    </row>
    <row r="12" ht="14.25" customHeight="1">
      <c r="A12" s="43">
        <v>9</v>
      </c>
      <c r="B12" s="43" t="s">
        <v>45</v>
      </c>
      <c r="C12" s="43" t="s">
        <v>0</v>
      </c>
      <c r="D12" s="43">
        <v>100</v>
      </c>
      <c r="E12" s="43">
        <v>100</v>
      </c>
      <c r="F12" s="43">
        <v>100</v>
      </c>
      <c r="G12" s="44">
        <f t="shared" si="1"/>
        <v>1</v>
      </c>
      <c r="H12" s="43" t="s">
        <v>41</v>
      </c>
      <c r="I12" s="43" t="s">
        <v>54</v>
      </c>
    </row>
    <row r="13" ht="14.25" customHeight="1">
      <c r="A13" s="43">
        <v>10</v>
      </c>
      <c r="B13" s="43" t="s">
        <v>55</v>
      </c>
      <c r="C13" s="43" t="s">
        <v>56</v>
      </c>
      <c r="D13" s="43">
        <v>100</v>
      </c>
      <c r="E13" s="43">
        <v>100</v>
      </c>
      <c r="F13" s="43">
        <v>100</v>
      </c>
      <c r="G13" s="44">
        <f t="shared" si="1"/>
        <v>1</v>
      </c>
      <c r="H13" s="43" t="s">
        <v>41</v>
      </c>
      <c r="I13" s="43" t="s">
        <v>54</v>
      </c>
    </row>
    <row r="14" ht="14.25" customHeight="1">
      <c r="A14" s="43">
        <v>11</v>
      </c>
      <c r="B14" s="43" t="s">
        <v>55</v>
      </c>
      <c r="C14" s="43" t="s">
        <v>57</v>
      </c>
      <c r="D14" s="43">
        <v>100</v>
      </c>
      <c r="E14" s="43">
        <v>100</v>
      </c>
      <c r="F14" s="43">
        <v>100</v>
      </c>
      <c r="G14" s="44">
        <f t="shared" si="1"/>
        <v>1</v>
      </c>
      <c r="H14" s="43" t="s">
        <v>41</v>
      </c>
      <c r="I14" s="43" t="s">
        <v>54</v>
      </c>
    </row>
    <row r="15" ht="14.25" customHeight="1">
      <c r="A15" s="43">
        <v>12</v>
      </c>
      <c r="B15" s="43" t="s">
        <v>55</v>
      </c>
      <c r="C15" s="43" t="s">
        <v>58</v>
      </c>
      <c r="D15" s="43">
        <v>100</v>
      </c>
      <c r="E15" s="43">
        <v>100</v>
      </c>
      <c r="F15" s="43">
        <v>100</v>
      </c>
      <c r="G15" s="44">
        <f t="shared" si="1"/>
        <v>1</v>
      </c>
      <c r="H15" s="43" t="s">
        <v>41</v>
      </c>
      <c r="I15" s="43" t="s">
        <v>54</v>
      </c>
    </row>
    <row r="16" ht="14.25" customHeight="1">
      <c r="A16" s="43">
        <v>13</v>
      </c>
      <c r="B16" s="43" t="s">
        <v>55</v>
      </c>
      <c r="C16" s="43" t="s">
        <v>59</v>
      </c>
      <c r="D16" s="47">
        <v>100</v>
      </c>
      <c r="E16" s="47">
        <v>100</v>
      </c>
      <c r="F16" s="43">
        <v>100</v>
      </c>
      <c r="G16" s="44">
        <f t="shared" si="1"/>
        <v>1</v>
      </c>
      <c r="H16" s="47" t="s">
        <v>60</v>
      </c>
      <c r="I16" s="43" t="s">
        <v>54</v>
      </c>
    </row>
    <row r="17" ht="14.25" customHeight="1">
      <c r="A17" s="43">
        <v>14</v>
      </c>
      <c r="B17" s="43" t="s">
        <v>61</v>
      </c>
      <c r="C17" s="43" t="s">
        <v>62</v>
      </c>
      <c r="D17" s="43">
        <v>100</v>
      </c>
      <c r="E17" s="43">
        <v>100</v>
      </c>
      <c r="F17" s="43">
        <v>100</v>
      </c>
      <c r="G17" s="44">
        <f t="shared" si="1"/>
        <v>1</v>
      </c>
      <c r="H17" s="43" t="s">
        <v>41</v>
      </c>
      <c r="I17" s="43" t="s">
        <v>54</v>
      </c>
    </row>
    <row r="18" ht="14.25" customHeight="1">
      <c r="A18" s="43">
        <v>15</v>
      </c>
      <c r="B18" s="43" t="s">
        <v>61</v>
      </c>
      <c r="C18" s="43" t="s">
        <v>63</v>
      </c>
      <c r="D18" s="43">
        <v>100</v>
      </c>
      <c r="E18" s="43">
        <v>100</v>
      </c>
      <c r="F18" s="43">
        <v>100</v>
      </c>
      <c r="G18" s="44">
        <f t="shared" si="1"/>
        <v>1</v>
      </c>
      <c r="H18" s="43" t="s">
        <v>41</v>
      </c>
      <c r="I18" s="43" t="s">
        <v>54</v>
      </c>
    </row>
    <row r="19" ht="14.25" customHeight="1">
      <c r="A19" s="43">
        <v>16</v>
      </c>
      <c r="B19" s="43" t="s">
        <v>64</v>
      </c>
      <c r="C19" s="43" t="s">
        <v>65</v>
      </c>
      <c r="D19" s="43">
        <v>100</v>
      </c>
      <c r="E19" s="43">
        <v>100</v>
      </c>
      <c r="F19" s="43">
        <v>100</v>
      </c>
      <c r="G19" s="44">
        <f t="shared" si="1"/>
        <v>1</v>
      </c>
      <c r="H19" s="43" t="s">
        <v>41</v>
      </c>
      <c r="I19" s="43" t="s">
        <v>54</v>
      </c>
    </row>
    <row r="20" ht="14.25" customHeight="1">
      <c r="A20" s="43">
        <v>17</v>
      </c>
      <c r="B20" s="43" t="s">
        <v>64</v>
      </c>
      <c r="C20" s="43" t="s">
        <v>66</v>
      </c>
      <c r="D20" s="43">
        <v>100</v>
      </c>
      <c r="E20" s="43">
        <v>100</v>
      </c>
      <c r="F20" s="43">
        <v>100</v>
      </c>
      <c r="G20" s="44">
        <f t="shared" si="1"/>
        <v>1</v>
      </c>
      <c r="H20" s="43" t="s">
        <v>41</v>
      </c>
      <c r="I20" s="43" t="s">
        <v>54</v>
      </c>
    </row>
    <row r="21" ht="14.25" customHeight="1">
      <c r="A21" s="43">
        <v>18</v>
      </c>
      <c r="B21" s="43" t="s">
        <v>64</v>
      </c>
      <c r="C21" s="43" t="s">
        <v>67</v>
      </c>
      <c r="D21" s="47">
        <v>100</v>
      </c>
      <c r="E21" s="47">
        <v>100</v>
      </c>
      <c r="F21" s="47">
        <v>100</v>
      </c>
      <c r="G21" s="44">
        <f t="shared" si="1"/>
        <v>1</v>
      </c>
      <c r="H21" s="47" t="s">
        <v>68</v>
      </c>
      <c r="I21" s="43" t="s">
        <v>54</v>
      </c>
    </row>
    <row r="22" ht="14.25" customHeight="1">
      <c r="A22" s="43">
        <v>19</v>
      </c>
      <c r="B22" s="43" t="s">
        <v>69</v>
      </c>
      <c r="C22" s="43" t="s">
        <v>70</v>
      </c>
      <c r="D22" s="43">
        <v>100</v>
      </c>
      <c r="E22" s="43">
        <v>100</v>
      </c>
      <c r="F22" s="43">
        <v>100</v>
      </c>
      <c r="G22" s="44">
        <f t="shared" si="1"/>
        <v>1</v>
      </c>
      <c r="H22" s="43" t="s">
        <v>41</v>
      </c>
      <c r="I22" s="43" t="s">
        <v>54</v>
      </c>
    </row>
    <row r="23" ht="14.25" customHeight="1">
      <c r="A23" s="43">
        <v>20</v>
      </c>
      <c r="B23" s="43" t="s">
        <v>69</v>
      </c>
      <c r="C23" s="43" t="s">
        <v>71</v>
      </c>
      <c r="D23" s="43">
        <v>100</v>
      </c>
      <c r="E23" s="43">
        <v>100</v>
      </c>
      <c r="F23" s="43">
        <v>100</v>
      </c>
      <c r="G23" s="44">
        <f t="shared" si="1"/>
        <v>1</v>
      </c>
      <c r="H23" s="43" t="s">
        <v>41</v>
      </c>
      <c r="I23" s="43" t="s">
        <v>54</v>
      </c>
    </row>
    <row r="24" ht="14.25" customHeight="1">
      <c r="A24" s="43">
        <v>21</v>
      </c>
      <c r="B24" s="43" t="s">
        <v>69</v>
      </c>
      <c r="C24" s="43" t="s">
        <v>72</v>
      </c>
      <c r="D24" s="43">
        <v>100</v>
      </c>
      <c r="E24" s="43">
        <v>100</v>
      </c>
      <c r="F24" s="43">
        <v>100</v>
      </c>
      <c r="G24" s="44">
        <f t="shared" si="1"/>
        <v>1</v>
      </c>
      <c r="H24" s="43" t="s">
        <v>41</v>
      </c>
      <c r="I24" s="43" t="s">
        <v>54</v>
      </c>
    </row>
    <row r="25" ht="14.25" customHeight="1">
      <c r="A25" s="43">
        <v>22</v>
      </c>
      <c r="B25" s="43" t="s">
        <v>69</v>
      </c>
      <c r="C25" s="43" t="s">
        <v>73</v>
      </c>
      <c r="D25" s="43">
        <v>100</v>
      </c>
      <c r="E25" s="43">
        <v>100</v>
      </c>
      <c r="F25" s="43">
        <v>100</v>
      </c>
      <c r="G25" s="44">
        <f t="shared" si="1"/>
        <v>1</v>
      </c>
      <c r="H25" s="43" t="s">
        <v>41</v>
      </c>
      <c r="I25" s="43" t="s">
        <v>54</v>
      </c>
    </row>
    <row r="26" ht="14.25" customHeight="1">
      <c r="A26" s="43">
        <v>23</v>
      </c>
      <c r="B26" s="43" t="s">
        <v>74</v>
      </c>
      <c r="C26" s="43" t="s">
        <v>75</v>
      </c>
      <c r="D26" s="43">
        <v>100</v>
      </c>
      <c r="E26" s="43">
        <v>100</v>
      </c>
      <c r="F26" s="43">
        <v>100</v>
      </c>
      <c r="G26" s="44">
        <f t="shared" si="1"/>
        <v>1</v>
      </c>
      <c r="H26" s="43" t="s">
        <v>41</v>
      </c>
      <c r="I26" s="43" t="s">
        <v>54</v>
      </c>
    </row>
    <row r="27" ht="14.25" customHeight="1">
      <c r="A27" s="45">
        <v>24</v>
      </c>
      <c r="B27" s="45" t="s">
        <v>55</v>
      </c>
      <c r="C27" s="45" t="s">
        <v>76</v>
      </c>
      <c r="D27" s="45">
        <v>75</v>
      </c>
      <c r="E27" s="45">
        <v>100</v>
      </c>
      <c r="F27" s="45">
        <v>100</v>
      </c>
      <c r="G27" s="46">
        <f t="shared" si="1"/>
        <v>0.91666666669999997</v>
      </c>
      <c r="H27" s="45" t="s">
        <v>77</v>
      </c>
      <c r="I27" s="45" t="s">
        <v>78</v>
      </c>
    </row>
    <row r="28" ht="14.25" customHeight="1">
      <c r="A28" s="45">
        <v>25</v>
      </c>
      <c r="B28" s="45" t="s">
        <v>61</v>
      </c>
      <c r="C28" s="45" t="s">
        <v>79</v>
      </c>
      <c r="D28" s="45">
        <v>75</v>
      </c>
      <c r="E28" s="48">
        <v>100</v>
      </c>
      <c r="F28" s="45">
        <v>100</v>
      </c>
      <c r="G28" s="46">
        <f t="shared" si="1"/>
        <v>0.91666666669999997</v>
      </c>
      <c r="H28" s="45" t="s">
        <v>77</v>
      </c>
      <c r="I28" s="45" t="s">
        <v>78</v>
      </c>
    </row>
    <row r="29" ht="14.25" customHeight="1">
      <c r="A29" s="45">
        <v>26</v>
      </c>
      <c r="B29" s="45" t="s">
        <v>64</v>
      </c>
      <c r="C29" s="45" t="s">
        <v>80</v>
      </c>
      <c r="D29" s="48">
        <v>75</v>
      </c>
      <c r="E29" s="48">
        <v>100</v>
      </c>
      <c r="F29" s="48">
        <v>100</v>
      </c>
      <c r="G29" s="46">
        <f t="shared" si="1"/>
        <v>0.91666666669999997</v>
      </c>
      <c r="H29" s="45" t="s">
        <v>81</v>
      </c>
      <c r="I29" s="45" t="s">
        <v>78</v>
      </c>
    </row>
    <row r="30" ht="14.25" customHeight="1">
      <c r="A30" s="43">
        <v>27</v>
      </c>
      <c r="B30" s="43" t="s">
        <v>69</v>
      </c>
      <c r="C30" s="43" t="s">
        <v>82</v>
      </c>
      <c r="D30" s="47">
        <v>100</v>
      </c>
      <c r="E30" s="47">
        <v>100</v>
      </c>
      <c r="F30" s="47">
        <v>100</v>
      </c>
      <c r="G30" s="44">
        <f t="shared" si="1"/>
        <v>1</v>
      </c>
      <c r="H30" s="43" t="s">
        <v>81</v>
      </c>
      <c r="I30" s="43" t="s">
        <v>54</v>
      </c>
    </row>
    <row r="31" ht="14.25" customHeight="1">
      <c r="A31" s="43">
        <v>28</v>
      </c>
      <c r="B31" s="43" t="s">
        <v>69</v>
      </c>
      <c r="C31" s="43" t="s">
        <v>83</v>
      </c>
      <c r="D31" s="47">
        <v>100</v>
      </c>
      <c r="E31" s="47">
        <v>100</v>
      </c>
      <c r="F31" s="47">
        <v>100</v>
      </c>
      <c r="G31" s="44">
        <f t="shared" si="1"/>
        <v>1</v>
      </c>
      <c r="H31" s="43" t="s">
        <v>81</v>
      </c>
      <c r="I31" s="43" t="s">
        <v>54</v>
      </c>
    </row>
    <row r="32" ht="14.25" customHeight="1">
      <c r="A32" s="49">
        <v>29</v>
      </c>
      <c r="B32" s="49" t="s">
        <v>84</v>
      </c>
      <c r="C32" s="50" t="s">
        <v>41</v>
      </c>
      <c r="D32" s="28"/>
      <c r="E32" s="28"/>
      <c r="F32" s="29"/>
      <c r="G32" s="51">
        <f>'Matrix Pendataan Unit'!H16</f>
        <v>0.47857142857142854</v>
      </c>
      <c r="H32" s="49"/>
      <c r="I32" s="49" t="s">
        <v>85</v>
      </c>
    </row>
    <row r="33" ht="14.25" customHeight="1">
      <c r="A33" s="49">
        <v>30</v>
      </c>
      <c r="B33" s="49" t="s">
        <v>86</v>
      </c>
      <c r="C33" s="52" t="s">
        <v>87</v>
      </c>
      <c r="D33" s="28"/>
      <c r="E33" s="28"/>
      <c r="F33" s="53">
        <v>11</v>
      </c>
      <c r="G33" s="51">
        <f>F33/14</f>
        <v>0.78571428570000001</v>
      </c>
      <c r="H33" s="49"/>
      <c r="I33" s="49"/>
    </row>
    <row r="34" ht="14.25" customHeight="1">
      <c r="A34" s="54" t="s">
        <v>88</v>
      </c>
      <c r="B34" s="28"/>
      <c r="C34" s="28"/>
      <c r="D34" s="28"/>
      <c r="E34" s="28"/>
      <c r="F34" s="29"/>
      <c r="G34" s="55">
        <f>AVERAGE(G4:G33)</f>
        <v>0.95880952381238083</v>
      </c>
      <c r="H34" s="56"/>
      <c r="I34" s="56"/>
    </row>
    <row r="35" ht="14.25" customHeight="1">
      <c r="A35" s="54" t="s">
        <v>89</v>
      </c>
      <c r="B35" s="28"/>
      <c r="C35" s="28"/>
      <c r="D35" s="28"/>
      <c r="E35" s="28"/>
      <c r="F35" s="29"/>
      <c r="G35" s="55">
        <f>1-AVERAGE(G4:G33)</f>
        <v>0.041190476187619174</v>
      </c>
      <c r="H35" s="56"/>
      <c r="I35" s="56"/>
    </row>
    <row r="36" ht="14.25" customHeight="1"/>
    <row r="37" ht="14.25" customHeight="1"/>
    <row r="38" ht="14.25" customHeight="1"/>
    <row r="39" ht="14.25" customHeight="1">
      <c r="B39" s="54" t="s">
        <v>26</v>
      </c>
      <c r="C39" s="29"/>
    </row>
    <row r="40" ht="14.25" customHeight="1">
      <c r="B40" s="43">
        <v>100</v>
      </c>
      <c r="C40" s="43" t="s">
        <v>27</v>
      </c>
    </row>
    <row r="41" ht="14.25" customHeight="1">
      <c r="B41" s="45">
        <v>75</v>
      </c>
      <c r="C41" s="45" t="s">
        <v>90</v>
      </c>
    </row>
    <row r="42" ht="14.25" customHeight="1">
      <c r="B42" s="57">
        <v>50</v>
      </c>
      <c r="C42" s="57" t="s">
        <v>28</v>
      </c>
    </row>
    <row r="43" ht="14.25" customHeight="1">
      <c r="B43" s="58">
        <v>25</v>
      </c>
      <c r="C43" s="58" t="s">
        <v>91</v>
      </c>
    </row>
    <row r="44" ht="14.25" customHeight="1">
      <c r="B44" s="59">
        <v>0</v>
      </c>
      <c r="C44" s="59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I2"/>
    <mergeCell ref="C32:F32"/>
    <mergeCell ref="C33:E33"/>
    <mergeCell ref="A34:F34"/>
    <mergeCell ref="A35:F35"/>
    <mergeCell ref="B39:C3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5.1299999999999999"/>
    <col customWidth="1" min="2" max="2" width="11.630000000000001"/>
    <col customWidth="1" min="3" max="3" width="145.25"/>
    <col customWidth="1" min="4" max="4" width="21.879999999999999"/>
    <col customWidth="1" min="5" max="5" width="15.880000000000001"/>
    <col customWidth="1" min="6" max="6" width="14.630000000000001"/>
    <col customWidth="1" min="7" max="7" width="15.5"/>
    <col customWidth="1" min="8" max="26" width="8.6300000000000008"/>
  </cols>
  <sheetData>
    <row r="1" ht="14.25" customHeight="1">
      <c r="A1" s="60" t="s">
        <v>92</v>
      </c>
      <c r="F1" s="61"/>
      <c r="G1" s="61"/>
    </row>
    <row r="2" ht="14.25" customHeight="1">
      <c r="A2" s="40"/>
      <c r="B2" s="40"/>
      <c r="C2" s="40"/>
      <c r="D2" s="40"/>
      <c r="E2" s="40"/>
      <c r="F2" s="62"/>
      <c r="G2" s="62"/>
    </row>
    <row r="3" ht="14.25" customHeight="1">
      <c r="A3" s="63" t="s">
        <v>93</v>
      </c>
      <c r="B3" s="63" t="s">
        <v>94</v>
      </c>
      <c r="C3" s="63" t="s">
        <v>95</v>
      </c>
      <c r="D3" s="63" t="s">
        <v>96</v>
      </c>
      <c r="E3" s="63" t="s">
        <v>97</v>
      </c>
      <c r="F3" s="62"/>
      <c r="G3" s="62"/>
    </row>
    <row r="4" ht="14.25" customHeight="1">
      <c r="A4" s="64">
        <v>1</v>
      </c>
      <c r="B4" s="65">
        <v>46024</v>
      </c>
      <c r="C4" s="66" t="s">
        <v>98</v>
      </c>
      <c r="D4" s="64" t="s">
        <v>99</v>
      </c>
      <c r="E4" s="64" t="s">
        <v>100</v>
      </c>
      <c r="F4" s="62"/>
      <c r="G4" s="62"/>
    </row>
    <row r="5" ht="14.25" customHeight="1">
      <c r="A5" s="64">
        <v>2</v>
      </c>
      <c r="B5" s="65">
        <v>46024</v>
      </c>
      <c r="C5" s="66" t="s">
        <v>101</v>
      </c>
      <c r="D5" s="64" t="s">
        <v>99</v>
      </c>
      <c r="E5" s="64" t="s">
        <v>100</v>
      </c>
      <c r="F5" s="62"/>
      <c r="G5" s="62"/>
    </row>
    <row r="6" ht="14.25" customHeight="1">
      <c r="A6" s="64">
        <v>3</v>
      </c>
      <c r="B6" s="65">
        <v>46024</v>
      </c>
      <c r="C6" s="66" t="s">
        <v>102</v>
      </c>
      <c r="D6" s="64" t="s">
        <v>99</v>
      </c>
      <c r="E6" s="64" t="s">
        <v>100</v>
      </c>
      <c r="F6" s="62"/>
      <c r="G6" s="62"/>
    </row>
    <row r="7" ht="14.25" customHeight="1">
      <c r="A7" s="64">
        <v>4</v>
      </c>
      <c r="B7" s="65">
        <v>46024</v>
      </c>
      <c r="C7" s="64" t="s">
        <v>103</v>
      </c>
      <c r="D7" s="64" t="s">
        <v>99</v>
      </c>
      <c r="E7" s="64" t="s">
        <v>100</v>
      </c>
      <c r="F7" s="62"/>
      <c r="G7" s="62"/>
    </row>
    <row r="8" ht="14.25" customHeight="1">
      <c r="A8" s="64">
        <v>5</v>
      </c>
      <c r="B8" s="65">
        <v>46024</v>
      </c>
      <c r="C8" s="64" t="s">
        <v>104</v>
      </c>
      <c r="D8" s="64" t="s">
        <v>99</v>
      </c>
      <c r="E8" s="64" t="s">
        <v>100</v>
      </c>
      <c r="F8" s="62"/>
      <c r="G8" s="62"/>
    </row>
    <row r="9" ht="14.25" customHeight="1">
      <c r="A9" s="64">
        <v>6</v>
      </c>
      <c r="B9" s="65"/>
      <c r="C9" s="67"/>
      <c r="D9" s="64"/>
      <c r="E9" s="64"/>
      <c r="F9" s="62"/>
      <c r="G9" s="62"/>
    </row>
    <row r="10" ht="14.25" customHeight="1">
      <c r="A10" s="64">
        <v>7</v>
      </c>
      <c r="B10" s="68">
        <v>46097</v>
      </c>
      <c r="C10" s="66" t="s">
        <v>105</v>
      </c>
      <c r="D10" s="69" t="s">
        <v>99</v>
      </c>
      <c r="E10" s="67" t="s">
        <v>100</v>
      </c>
      <c r="F10" s="62"/>
      <c r="G10" s="62"/>
    </row>
    <row r="11" ht="14.25" customHeight="1">
      <c r="A11" s="70">
        <v>8</v>
      </c>
      <c r="B11" s="65">
        <v>46097</v>
      </c>
      <c r="C11" s="70" t="s">
        <v>106</v>
      </c>
      <c r="D11" s="64" t="s">
        <v>99</v>
      </c>
      <c r="E11" s="64" t="s">
        <v>100</v>
      </c>
      <c r="F11" s="62"/>
      <c r="G11" s="62"/>
    </row>
    <row r="12" ht="14.25" customHeight="1">
      <c r="A12" s="70">
        <v>9</v>
      </c>
      <c r="B12" s="65">
        <v>46097</v>
      </c>
      <c r="C12" s="66" t="s">
        <v>107</v>
      </c>
      <c r="D12" s="64" t="s">
        <v>99</v>
      </c>
      <c r="E12" s="64" t="s">
        <v>100</v>
      </c>
      <c r="F12" s="62"/>
      <c r="G12" s="62"/>
    </row>
    <row r="13" ht="14.25" customHeight="1">
      <c r="A13" s="71">
        <v>10</v>
      </c>
      <c r="B13" s="65">
        <v>46097</v>
      </c>
      <c r="C13" s="56" t="s">
        <v>108</v>
      </c>
      <c r="D13" s="64" t="s">
        <v>99</v>
      </c>
      <c r="E13" s="64" t="s">
        <v>100</v>
      </c>
      <c r="F13" s="62"/>
      <c r="G13" s="62"/>
    </row>
    <row r="14" ht="14.25" customHeight="1">
      <c r="A14" s="56">
        <v>11</v>
      </c>
      <c r="B14" s="72">
        <v>46097</v>
      </c>
      <c r="C14" s="73" t="s">
        <v>105</v>
      </c>
      <c r="D14" s="64" t="s">
        <v>99</v>
      </c>
      <c r="E14" s="64" t="s">
        <v>100</v>
      </c>
      <c r="F14" s="62"/>
      <c r="G14" s="62"/>
    </row>
    <row r="15" ht="14.25" customHeight="1">
      <c r="A15" s="56">
        <v>12</v>
      </c>
      <c r="B15" s="74">
        <v>46097</v>
      </c>
      <c r="C15" s="73" t="s">
        <v>109</v>
      </c>
      <c r="D15" s="64" t="s">
        <v>110</v>
      </c>
      <c r="E15" s="64" t="s">
        <v>100</v>
      </c>
      <c r="F15" s="62"/>
      <c r="G15" s="62"/>
    </row>
    <row r="16" ht="14.25" customHeight="1">
      <c r="A16" s="56">
        <v>13</v>
      </c>
      <c r="B16" s="72">
        <v>46097</v>
      </c>
      <c r="C16" s="70" t="s">
        <v>111</v>
      </c>
      <c r="D16" s="75" t="s">
        <v>99</v>
      </c>
      <c r="E16" s="64" t="s">
        <v>100</v>
      </c>
    </row>
    <row r="17" ht="14.25" customHeight="1">
      <c r="A17" s="56">
        <v>14</v>
      </c>
      <c r="B17" s="72">
        <v>46097</v>
      </c>
      <c r="C17" s="76" t="s">
        <v>112</v>
      </c>
      <c r="D17" s="75" t="s">
        <v>99</v>
      </c>
      <c r="E17" s="64" t="s">
        <v>100</v>
      </c>
    </row>
    <row r="18" ht="14.25" customHeight="1">
      <c r="A18" s="56">
        <v>15</v>
      </c>
      <c r="B18" s="77"/>
      <c r="C18" s="56"/>
      <c r="D18" s="78"/>
      <c r="E18" s="78"/>
    </row>
    <row r="19" ht="14.25" customHeight="1">
      <c r="A19" s="56">
        <v>16</v>
      </c>
      <c r="B19" s="77"/>
      <c r="C19" s="56"/>
      <c r="D19" s="64"/>
      <c r="E19" s="64"/>
    </row>
    <row r="20" ht="14.25" customHeight="1">
      <c r="A20" s="56">
        <v>17</v>
      </c>
      <c r="B20" s="77"/>
      <c r="C20" s="56"/>
      <c r="D20" s="64"/>
      <c r="E20" s="64"/>
    </row>
    <row r="21" ht="14.25" customHeight="1">
      <c r="A21" s="56">
        <v>18</v>
      </c>
      <c r="B21" s="77"/>
      <c r="C21" s="56"/>
      <c r="D21" s="64"/>
      <c r="E21" s="64"/>
    </row>
    <row r="22" ht="14.25" customHeight="1">
      <c r="A22" s="56">
        <v>19</v>
      </c>
      <c r="B22" s="77"/>
      <c r="C22" s="56"/>
      <c r="D22" s="64"/>
      <c r="E22" s="64"/>
    </row>
    <row r="23" ht="14.25" customHeight="1">
      <c r="A23" s="56">
        <v>20</v>
      </c>
      <c r="B23" s="77"/>
      <c r="C23" s="79"/>
      <c r="D23" s="64"/>
      <c r="E23" s="64"/>
    </row>
    <row r="24" ht="14.25" customHeight="1">
      <c r="A24" s="56">
        <v>21</v>
      </c>
      <c r="B24" s="77"/>
      <c r="C24" s="56"/>
      <c r="D24" s="64"/>
      <c r="E24" s="64"/>
    </row>
    <row r="25" ht="14.25" customHeight="1">
      <c r="A25" s="56">
        <v>22</v>
      </c>
      <c r="B25" s="77"/>
      <c r="C25" s="56"/>
      <c r="D25" s="64"/>
      <c r="E25" s="64"/>
    </row>
    <row r="26" ht="14.25" customHeight="1">
      <c r="A26" s="56">
        <v>23</v>
      </c>
      <c r="B26" s="77"/>
      <c r="C26" s="56"/>
      <c r="D26" s="64"/>
      <c r="E26" s="64"/>
    </row>
    <row r="27" ht="14.25" customHeight="1">
      <c r="A27" s="56">
        <v>24</v>
      </c>
      <c r="B27" s="77"/>
      <c r="C27" s="56"/>
      <c r="D27" s="64"/>
      <c r="E27" s="64"/>
    </row>
    <row r="28" ht="14.25" customHeight="1">
      <c r="A28" s="56">
        <v>25</v>
      </c>
      <c r="B28" s="77"/>
      <c r="C28" s="56"/>
      <c r="D28" s="64"/>
      <c r="E28" s="64"/>
    </row>
    <row r="29" ht="14.25" customHeight="1">
      <c r="A29" s="56"/>
      <c r="B29" s="56"/>
      <c r="C29" s="56"/>
      <c r="D29" s="64"/>
      <c r="E29" s="64"/>
    </row>
    <row r="30" ht="14.25" customHeight="1">
      <c r="A30" s="56"/>
      <c r="B30" s="56"/>
      <c r="C30" s="56"/>
      <c r="D30" s="64"/>
      <c r="E30" s="64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2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4D22F0F-6329-4F15-9708-7B8A410CE53F}">
            <xm:f>$D17=" "</xm:f>
            <x14:dxf>
              <font/>
              <fill>
                <patternFill patternType="none"/>
              </fill>
              <border>
                <left/>
                <right/>
                <top/>
                <bottom/>
                <diagonal/>
              </border>
            </x14:dxf>
          </x14:cfRule>
          <xm:sqref>D4</xm:sqref>
        </x14:conditionalFormatting>
        <x14:conditionalFormatting xmlns:xm="http://schemas.microsoft.com/office/excel/2006/main">
          <x14:cfRule type="expression" priority="2" id="{58980AA8-060B-4A7D-AC33-982CB98C6DB0}">
            <xm:f>D4="Sudah"</xm:f>
            <x14:dxf>
              <font/>
              <fill>
                <patternFill patternType="solid">
                  <fgColor indexed="3"/>
                  <bgColor indexed="3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D4:D30</xm:sqref>
        </x14:conditionalFormatting>
        <x14:conditionalFormatting xmlns:xm="http://schemas.microsoft.com/office/excel/2006/main">
          <x14:cfRule type="expression" priority="3" id="{8CD0252B-7DAC-4EB0-93DE-02987231AAB7}">
            <xm:f>$D4="Belum"</xm:f>
            <x14:dxf>
              <font/>
              <fill>
                <patternFill patternType="solid">
                  <fgColor indexed="2"/>
                  <bgColor indexed="2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D4:D30</xm:sqref>
        </x14:conditionalFormatting>
        <x14:conditionalFormatting xmlns:xm="http://schemas.microsoft.com/office/excel/2006/main">
          <x14:cfRule type="expression" priority="4" id="{0C0F8101-C5E0-4EEB-82C8-2A065AFD8CC3}">
            <xm:f>#REF!=" "</xm:f>
            <x14:dxf>
              <font/>
              <fill>
                <patternFill patternType="none"/>
              </fill>
              <border>
                <left/>
                <right/>
                <top/>
                <bottom/>
                <diagonal/>
              </border>
            </x14:dxf>
          </x14:cfRule>
          <xm:sqref>D5:D8</xm:sqref>
        </x14:conditionalFormatting>
        <x14:conditionalFormatting xmlns:xm="http://schemas.microsoft.com/office/excel/2006/main">
          <x14:cfRule type="expression" priority="5" id="{19715B6B-CB02-40DA-B0FB-3A72CDF539F9}">
            <xm:f>$D18=" "</xm:f>
            <x14:dxf>
              <font/>
              <fill>
                <patternFill patternType="none"/>
              </fill>
              <border>
                <left/>
                <right/>
                <top/>
                <bottom/>
                <diagonal/>
              </border>
            </x14:dxf>
          </x14:cfRule>
          <xm:sqref>D9:D30</xm:sqref>
        </x14:conditionalFormatting>
        <x14:conditionalFormatting xmlns:xm="http://schemas.microsoft.com/office/excel/2006/main">
          <x14:cfRule type="expression" priority="6" id="{0B9240C4-C767-494F-9017-FA81CB9A6DC4}">
            <xm:f>$E4="Open"</xm:f>
            <x14:dxf>
              <font/>
              <fill>
                <patternFill patternType="solid">
                  <fgColor indexed="2"/>
                  <bgColor indexed="2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E4:E30</xm:sqref>
        </x14:conditionalFormatting>
        <x14:conditionalFormatting xmlns:xm="http://schemas.microsoft.com/office/excel/2006/main">
          <x14:cfRule type="expression" priority="7" id="{971E1263-4294-414D-8357-C8DBF1123503}">
            <xm:f>$E4="Close"</xm:f>
            <x14:dxf>
              <font/>
              <fill>
                <patternFill patternType="solid">
                  <fgColor indexed="3"/>
                  <bgColor indexed="3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E4:E30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iassomelektrikal@gmail.com</dc:creator>
  <cp:lastModifiedBy>User</cp:lastModifiedBy>
  <cp:revision>1</cp:revision>
  <dcterms:created xsi:type="dcterms:W3CDTF">2026-02-14T06:30:17Z</dcterms:created>
  <dcterms:modified xsi:type="dcterms:W3CDTF">2026-07-23T04:16:41Z</dcterms:modified>
</cp:coreProperties>
</file>